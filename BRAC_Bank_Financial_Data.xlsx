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 Farazi\Documents\"/>
    </mc:Choice>
  </mc:AlternateContent>
  <xr:revisionPtr revIDLastSave="0" documentId="13_ncr:1_{D5571A30-3E34-4DFD-AEB0-A21046FC3011}" xr6:coauthVersionLast="47" xr6:coauthVersionMax="47" xr10:uidLastSave="{00000000-0000-0000-0000-000000000000}"/>
  <bookViews>
    <workbookView xWindow="-110" yWindow="-110" windowWidth="19420" windowHeight="10300" xr2:uid="{2818673F-66A6-4C3A-A280-46A389B855B0}"/>
  </bookViews>
  <sheets>
    <sheet name="Sheet1" sheetId="1" r:id="rId1"/>
    <sheet name="CHA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J4" i="1"/>
  <c r="J5" i="1"/>
  <c r="J3" i="1"/>
  <c r="D18" i="1"/>
  <c r="H10" i="1"/>
  <c r="H11" i="1"/>
  <c r="H12" i="1"/>
  <c r="H9" i="1"/>
  <c r="G10" i="1"/>
  <c r="G11" i="1"/>
  <c r="G12" i="1"/>
  <c r="G9" i="1"/>
  <c r="F10" i="1"/>
  <c r="F11" i="1"/>
  <c r="F12" i="1"/>
  <c r="F9" i="1"/>
  <c r="E10" i="1"/>
  <c r="E11" i="1"/>
  <c r="E12" i="1"/>
  <c r="E9" i="1"/>
  <c r="D10" i="1"/>
  <c r="D11" i="1"/>
  <c r="D12" i="1"/>
  <c r="D9" i="1"/>
  <c r="I10" i="1" l="1"/>
  <c r="J10" i="1" s="1"/>
  <c r="I9" i="1"/>
  <c r="J9" i="1" s="1"/>
  <c r="I12" i="1"/>
  <c r="J12" i="1" s="1"/>
  <c r="I11" i="1"/>
  <c r="J11" i="1" s="1"/>
</calcChain>
</file>

<file path=xl/sharedStrings.xml><?xml version="1.0" encoding="utf-8"?>
<sst xmlns="http://schemas.openxmlformats.org/spreadsheetml/2006/main" count="21" uniqueCount="21">
  <si>
    <t>Revenue</t>
  </si>
  <si>
    <t>Net Profit</t>
  </si>
  <si>
    <t>Total Assets</t>
  </si>
  <si>
    <t>Total Liabilities</t>
  </si>
  <si>
    <t>Equity</t>
  </si>
  <si>
    <t>EPS</t>
  </si>
  <si>
    <t>year</t>
  </si>
  <si>
    <t>loans and  advances</t>
  </si>
  <si>
    <t>Diposits</t>
  </si>
  <si>
    <t>RATIOS</t>
  </si>
  <si>
    <t>YEAR</t>
  </si>
  <si>
    <t>ROA</t>
  </si>
  <si>
    <t>ROE</t>
  </si>
  <si>
    <t>D/E</t>
  </si>
  <si>
    <t>LOAN TO DEPOSIT</t>
  </si>
  <si>
    <t>NET PROFIT MARGIN</t>
  </si>
  <si>
    <t>Column1</t>
  </si>
  <si>
    <t>max roe</t>
  </si>
  <si>
    <t>best roe year</t>
  </si>
  <si>
    <t>DEPOSIT GROWTH</t>
  </si>
  <si>
    <t>ASSET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</si>
</sst>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৳-845]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/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10" fontId="0" fillId="0" borderId="8" xfId="1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0" fontId="0" fillId="0" borderId="0" xfId="1" applyNumberFormat="1" applyFont="1"/>
    <xf numFmtId="0" fontId="0" fillId="0" borderId="0" xfId="0" applyNumberFormat="1"/>
    <xf numFmtId="0" fontId="0" fillId="0" borderId="5" xfId="1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3" fillId="0" borderId="10" xfId="0" applyNumberFormat="1" applyFont="1" applyBorder="1" applyAlignment="1">
      <alignment horizontal="center"/>
    </xf>
    <xf numFmtId="9" fontId="0" fillId="2" borderId="5" xfId="1" applyFont="1" applyFill="1" applyBorder="1" applyAlignment="1">
      <alignment horizontal="center"/>
    </xf>
    <xf numFmtId="9" fontId="0" fillId="0" borderId="5" xfId="1" applyFont="1" applyBorder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27">
    <dxf>
      <numFmt numFmtId="14" formatCode="0.0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[$৳-845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[$৳-845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[$৳-845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[$৳-845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[$৳-845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[$৳-845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[$৳-845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64" formatCode="#,##0.00[$৳-845]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#,##0.00[$৳-845]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DD6082-6254-4175-AD66-A48693031BEF}" name="Table2" displayName="Table2" ref="C8:K12" totalsRowShown="0" headerRowDxfId="26" dataDxfId="25" dataCellStyle="Percent">
  <autoFilter ref="C8:K12" xr:uid="{7DDD6082-6254-4175-AD66-A48693031BEF}"/>
  <tableColumns count="9">
    <tableColumn id="1" xr3:uid="{F832133F-C39D-471B-978C-894DE4C3C290}" name="YEAR" dataDxfId="24"/>
    <tableColumn id="2" xr3:uid="{84B120E3-9A4D-4447-B1CB-54E029522B59}" name="ROA" dataDxfId="23" dataCellStyle="Percent">
      <calculatedColumnFormula>C2/D2</calculatedColumnFormula>
    </tableColumn>
    <tableColumn id="3" xr3:uid="{025183B0-E892-40C9-A32A-8659AD41FA76}" name="ROE" dataDxfId="22" dataCellStyle="Percent">
      <calculatedColumnFormula>C2/F2</calculatedColumnFormula>
    </tableColumn>
    <tableColumn id="4" xr3:uid="{3D461352-3582-44B5-BF5B-90F8FEAA74D7}" name="D/E" dataDxfId="21" dataCellStyle="Percent">
      <calculatedColumnFormula>E2/F2</calculatedColumnFormula>
    </tableColumn>
    <tableColumn id="5" xr3:uid="{AF8B843E-6B41-4C0A-B00A-815611312F9C}" name="LOAN TO DEPOSIT" dataDxfId="20" dataCellStyle="Percent">
      <calculatedColumnFormula>G2/I2</calculatedColumnFormula>
    </tableColumn>
    <tableColumn id="6" xr3:uid="{34C5D141-AC0B-49DB-B343-CA5F6CBC61EB}" name="NET PROFIT MARGIN" dataDxfId="19" dataCellStyle="Percent">
      <calculatedColumnFormula>C2/B2</calculatedColumnFormula>
    </tableColumn>
    <tableColumn id="7" xr3:uid="{411A89D2-4909-4EB5-AC7A-DA5F5DCBFAE2}" name="max roe" dataDxfId="4" dataCellStyle="Percent">
      <calculatedColumnFormula>MAX(Table2[ROE])</calculatedColumnFormula>
    </tableColumn>
    <tableColumn id="8" xr3:uid="{20CFA880-AEB0-4232-832E-CAEF9750531A}" name="best roe year" dataDxfId="2" dataCellStyle="Percent">
      <calculatedColumnFormula>INDEX(Table2[YEAR],MATCH(Table2[[#This Row],[max roe]],Table2[ROE],))</calculatedColumnFormula>
    </tableColumn>
    <tableColumn id="9" xr3:uid="{E60BACE1-C2FA-45A2-BFC5-C90EC52CDCAA}" name="Column1" dataDxfId="3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01F321-FB84-456C-904B-C916A09DE6FC}" name="Table3" displayName="Table3" ref="A1:K5" totalsRowShown="0" headerRowDxfId="18" dataDxfId="16" headerRowBorderDxfId="17" tableBorderDxfId="15" totalsRowBorderDxfId="14">
  <autoFilter ref="A1:K5" xr:uid="{CF01F321-FB84-456C-904B-C916A09DE6FC}"/>
  <tableColumns count="11">
    <tableColumn id="1" xr3:uid="{A3366747-3529-435C-B000-1066C9365938}" name="year" dataDxfId="13"/>
    <tableColumn id="2" xr3:uid="{2A667CEA-9A96-4770-A74E-A700F9C75C7C}" name="Revenue" dataDxfId="12"/>
    <tableColumn id="3" xr3:uid="{85E63DFD-ADBD-4F81-94B8-5C423A2DDB95}" name="Net Profit" dataDxfId="11"/>
    <tableColumn id="4" xr3:uid="{3C496671-E77A-4DF0-8C4C-298BE9A45760}" name="Total Assets" dataDxfId="10"/>
    <tableColumn id="5" xr3:uid="{76E8FC6B-4E6A-4DD4-A3C4-D737BD42B95A}" name="Total Liabilities" dataDxfId="9"/>
    <tableColumn id="6" xr3:uid="{E4C988B1-B5AE-4CAC-B9CB-CCD195DDE1EF}" name="Equity" dataDxfId="8"/>
    <tableColumn id="7" xr3:uid="{2DAA1556-B37E-4332-9C54-876A0F869995}" name="loans and  advances" dataDxfId="7"/>
    <tableColumn id="8" xr3:uid="{422CFAED-4F46-48FC-84FD-67C31FC6BDE7}" name="EPS" dataDxfId="6"/>
    <tableColumn id="9" xr3:uid="{E564FC61-BA53-44BF-A694-B69118C51B51}" name="Diposits" dataDxfId="5"/>
    <tableColumn id="10" xr3:uid="{E9063B6D-1876-4832-9D50-1317FA88C088}" name="ASSET GROWTH RATE" dataDxfId="1" dataCellStyle="Percent">
      <calculatedColumnFormula>(Table3[[#This Row],[Total Assets]]-D1)/D1</calculatedColumnFormula>
    </tableColumn>
    <tableColumn id="11" xr3:uid="{A29D4BA2-22AE-42A4-9B5D-DB3C20898D96}" name="DEPOSIT GROWTH" dataDxfId="0" dataCellStyle="Percent">
      <calculatedColumnFormula>(Table3[[#This Row],[Diposits]]-I1)/I1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4D43-F71D-41BD-B0CB-D444A712EC53}">
  <dimension ref="A1:L18"/>
  <sheetViews>
    <sheetView tabSelected="1" zoomScale="70" zoomScaleNormal="70" workbookViewId="0">
      <selection activeCell="J3" sqref="J3"/>
    </sheetView>
  </sheetViews>
  <sheetFormatPr defaultRowHeight="14.5" x14ac:dyDescent="0.35"/>
  <cols>
    <col min="2" max="3" width="18.453125" style="1" bestFit="1" customWidth="1"/>
    <col min="4" max="5" width="19.1796875" style="1" bestFit="1" customWidth="1"/>
    <col min="6" max="6" width="18.453125" style="1" bestFit="1" customWidth="1"/>
    <col min="7" max="7" width="19.6328125" style="1" customWidth="1"/>
    <col min="8" max="8" width="19.54296875" style="2" customWidth="1"/>
    <col min="9" max="9" width="19.1796875" style="1" bestFit="1" customWidth="1"/>
    <col min="10" max="10" width="18.90625" style="25" customWidth="1"/>
    <col min="11" max="11" width="21.81640625" bestFit="1" customWidth="1"/>
  </cols>
  <sheetData>
    <row r="1" spans="1:12" s="3" customFormat="1" x14ac:dyDescent="0.35">
      <c r="A1" s="12" t="s">
        <v>6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7</v>
      </c>
      <c r="H1" s="14" t="s">
        <v>5</v>
      </c>
      <c r="I1" s="15" t="s">
        <v>8</v>
      </c>
      <c r="J1" s="29" t="s">
        <v>20</v>
      </c>
      <c r="K1" s="13" t="s">
        <v>19</v>
      </c>
    </row>
    <row r="2" spans="1:12" x14ac:dyDescent="0.35">
      <c r="A2" s="10">
        <v>2020</v>
      </c>
      <c r="B2" s="5">
        <v>20508390599</v>
      </c>
      <c r="C2" s="5">
        <v>4540831949</v>
      </c>
      <c r="D2" s="5">
        <v>397502390329</v>
      </c>
      <c r="E2" s="5">
        <v>350547305963</v>
      </c>
      <c r="F2" s="5">
        <v>46955084366</v>
      </c>
      <c r="G2" s="5">
        <v>273063193200</v>
      </c>
      <c r="H2" s="6">
        <v>3.26</v>
      </c>
      <c r="I2" s="11">
        <v>287256443055</v>
      </c>
      <c r="J2" s="30">
        <v>0</v>
      </c>
      <c r="K2" s="31">
        <v>0</v>
      </c>
    </row>
    <row r="3" spans="1:12" x14ac:dyDescent="0.35">
      <c r="A3" s="10">
        <v>2021</v>
      </c>
      <c r="B3" s="5">
        <v>23363890098</v>
      </c>
      <c r="C3" s="5">
        <v>5546930564</v>
      </c>
      <c r="D3" s="5">
        <v>449084124881</v>
      </c>
      <c r="E3" s="5">
        <v>394664653750</v>
      </c>
      <c r="F3" s="5">
        <v>54429471131</v>
      </c>
      <c r="G3" s="5">
        <v>321212230987</v>
      </c>
      <c r="H3" s="6">
        <v>3.71</v>
      </c>
      <c r="I3" s="11">
        <v>312230736848</v>
      </c>
      <c r="J3" s="8">
        <f>(Table3[[#This Row],[Total Assets]]-D2)/D2</f>
        <v>0.12976458961493906</v>
      </c>
      <c r="K3" s="31">
        <f>(Table3[[#This Row],[Diposits]]-I2)/I2</f>
        <v>8.6940761110163356E-2</v>
      </c>
    </row>
    <row r="4" spans="1:12" x14ac:dyDescent="0.35">
      <c r="A4" s="10">
        <v>2022</v>
      </c>
      <c r="B4" s="5">
        <v>26570910034</v>
      </c>
      <c r="C4" s="5">
        <v>5763173573</v>
      </c>
      <c r="D4" s="5">
        <v>563238978302</v>
      </c>
      <c r="E4" s="5">
        <v>504848423529</v>
      </c>
      <c r="F4" s="5">
        <v>58418109568</v>
      </c>
      <c r="G4" s="5">
        <v>410676406960</v>
      </c>
      <c r="H4" s="6">
        <v>3.58</v>
      </c>
      <c r="I4" s="11">
        <v>382727271628</v>
      </c>
      <c r="J4" s="8">
        <f>(Table3[[#This Row],[Total Assets]]-D3)/D3</f>
        <v>0.25419480916019727</v>
      </c>
      <c r="K4" s="31">
        <f>(Table3[[#This Row],[Diposits]]-I3)/I3</f>
        <v>0.22578345582395076</v>
      </c>
    </row>
    <row r="5" spans="1:12" x14ac:dyDescent="0.35">
      <c r="A5" s="16">
        <v>2023</v>
      </c>
      <c r="B5" s="17">
        <v>31610470017</v>
      </c>
      <c r="C5" s="17">
        <v>7303604668</v>
      </c>
      <c r="D5" s="17">
        <v>726723275859</v>
      </c>
      <c r="E5" s="17">
        <v>662941246569</v>
      </c>
      <c r="F5" s="17">
        <v>63782029290</v>
      </c>
      <c r="G5" s="17">
        <v>519451995812</v>
      </c>
      <c r="H5" s="18">
        <v>4.54</v>
      </c>
      <c r="I5" s="19">
        <v>511192180931</v>
      </c>
      <c r="J5" s="8">
        <f>(Table3[[#This Row],[Total Assets]]-D4)/D4</f>
        <v>0.29025742864930465</v>
      </c>
      <c r="K5" s="31">
        <f>(Table3[[#This Row],[Diposits]]-I4)/I4</f>
        <v>0.33565653358474079</v>
      </c>
    </row>
    <row r="7" spans="1:12" ht="16" x14ac:dyDescent="0.4">
      <c r="C7" s="20" t="s">
        <v>9</v>
      </c>
      <c r="D7" s="20"/>
      <c r="E7" s="20"/>
      <c r="F7" s="20"/>
      <c r="G7" s="20"/>
      <c r="H7" s="20"/>
    </row>
    <row r="8" spans="1:12" ht="18.5" x14ac:dyDescent="0.45">
      <c r="C8" s="4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6" t="s">
        <v>15</v>
      </c>
      <c r="I8" s="27" t="s">
        <v>17</v>
      </c>
      <c r="J8" s="28" t="s">
        <v>18</v>
      </c>
      <c r="K8" s="23" t="s">
        <v>16</v>
      </c>
    </row>
    <row r="9" spans="1:12" x14ac:dyDescent="0.35">
      <c r="C9" s="7">
        <v>2020</v>
      </c>
      <c r="D9" s="8">
        <f>C2/D2</f>
        <v>1.1423407907664905E-2</v>
      </c>
      <c r="E9" s="8">
        <f>C2/F2</f>
        <v>9.6705862854076757E-2</v>
      </c>
      <c r="F9" s="9">
        <f>E2/F2</f>
        <v>7.4655878207053119</v>
      </c>
      <c r="G9" s="8">
        <f>G2/I2</f>
        <v>0.95059031677739436</v>
      </c>
      <c r="H9" s="8">
        <f>C2/B2</f>
        <v>0.2214133735692265</v>
      </c>
      <c r="I9" s="22">
        <f>MAX(Table2[ROE])</f>
        <v>0.11450881618696143</v>
      </c>
      <c r="J9" s="26">
        <f>INDEX(Table2[YEAR],MATCH(Table2[[#This Row],[max roe]],Table2[ROE],))</f>
        <v>2023</v>
      </c>
      <c r="K9" s="21"/>
      <c r="L9" s="24"/>
    </row>
    <row r="10" spans="1:12" x14ac:dyDescent="0.35">
      <c r="C10" s="7">
        <v>2021</v>
      </c>
      <c r="D10" s="8">
        <f t="shared" ref="D10:D12" si="0">C3/D3</f>
        <v>1.2351651409343063E-2</v>
      </c>
      <c r="E10" s="8">
        <f t="shared" ref="E10:E12" si="1">C3/F3</f>
        <v>0.10191042552388088</v>
      </c>
      <c r="F10" s="9">
        <f t="shared" ref="F10:F12" si="2">E3/F3</f>
        <v>7.2509367728399798</v>
      </c>
      <c r="G10" s="8">
        <f t="shared" ref="G10:G12" si="3">G3/I3</f>
        <v>1.0287655668678526</v>
      </c>
      <c r="H10" s="8">
        <f t="shared" ref="H10:H12" si="4">C3/B3</f>
        <v>0.2374146831171248</v>
      </c>
      <c r="I10" s="22">
        <f>MAX(Table2[ROE])</f>
        <v>0.11450881618696143</v>
      </c>
      <c r="J10" s="26">
        <f>INDEX(Table2[YEAR],MATCH(Table2[[#This Row],[max roe]],Table2[ROE],))</f>
        <v>2023</v>
      </c>
      <c r="K10" s="21"/>
      <c r="L10" s="24"/>
    </row>
    <row r="11" spans="1:12" x14ac:dyDescent="0.35">
      <c r="C11" s="7">
        <v>2022</v>
      </c>
      <c r="D11" s="8">
        <f t="shared" si="0"/>
        <v>1.02321994659785E-2</v>
      </c>
      <c r="E11" s="8">
        <f t="shared" si="1"/>
        <v>9.8653886878888736E-2</v>
      </c>
      <c r="F11" s="9">
        <f t="shared" si="2"/>
        <v>8.641984947173702</v>
      </c>
      <c r="G11" s="8">
        <f t="shared" si="3"/>
        <v>1.0730262445451386</v>
      </c>
      <c r="H11" s="8">
        <f t="shared" si="4"/>
        <v>0.21689786182051998</v>
      </c>
      <c r="I11" s="22">
        <f>MAX(Table2[ROE])</f>
        <v>0.11450881618696143</v>
      </c>
      <c r="J11" s="26">
        <f>INDEX(Table2[YEAR],MATCH(Table2[[#This Row],[max roe]],Table2[ROE],))</f>
        <v>2023</v>
      </c>
      <c r="K11" s="21"/>
      <c r="L11" s="24"/>
    </row>
    <row r="12" spans="1:12" x14ac:dyDescent="0.35">
      <c r="C12" s="7">
        <v>2023</v>
      </c>
      <c r="D12" s="8">
        <f t="shared" si="0"/>
        <v>1.0050049187384301E-2</v>
      </c>
      <c r="E12" s="8">
        <f t="shared" si="1"/>
        <v>0.11450881618696143</v>
      </c>
      <c r="F12" s="9">
        <f t="shared" si="2"/>
        <v>10.393856293828183</v>
      </c>
      <c r="G12" s="8">
        <f t="shared" si="3"/>
        <v>1.0161579444856863</v>
      </c>
      <c r="H12" s="8">
        <f t="shared" si="4"/>
        <v>0.23105017622554005</v>
      </c>
      <c r="I12" s="22">
        <f>MAX(Table2[ROE])</f>
        <v>0.11450881618696143</v>
      </c>
      <c r="J12" s="26">
        <f>INDEX(Table2[YEAR],MATCH(Table2[[#This Row],[max roe]],Table2[ROE],))</f>
        <v>2023</v>
      </c>
      <c r="K12" s="21"/>
      <c r="L12" s="24"/>
    </row>
    <row r="18" spans="4:4" x14ac:dyDescent="0.35">
      <c r="D18" s="1">
        <f>VLOOKUP(A2,Table3[#All],1,TRUE)</f>
        <v>2020</v>
      </c>
    </row>
  </sheetData>
  <mergeCells count="1">
    <mergeCell ref="C7:H7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31E0-E1DF-4AF1-BFB9-42822E482011}">
  <dimension ref="A1"/>
  <sheetViews>
    <sheetView showGridLines="0" workbookViewId="0">
      <selection activeCell="B3" sqref="B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Mahmudul Hasan Sany</dc:creator>
  <cp:lastModifiedBy>Mahmudul Hasan Sany</cp:lastModifiedBy>
  <dcterms:created xsi:type="dcterms:W3CDTF">2026-04-24T16:07:51Z</dcterms:created>
  <dcterms:modified xsi:type="dcterms:W3CDTF">2026-04-25T19:48:19Z</dcterms:modified>
</cp:coreProperties>
</file>